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253d8677a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算总览" sheetId="1" r:id="R69b4234de8114e7f"/>
    <x:sheet xmlns:r="http://schemas.openxmlformats.org/officeDocument/2006/relationships" name="点位数量" sheetId="2" r:id="Ra87614637f20407a"/>
    <x:sheet xmlns:r="http://schemas.openxmlformats.org/officeDocument/2006/relationships" name="线路米数" sheetId="3" r:id="R80923cdd02db4654"/>
    <x:sheet xmlns:r="http://schemas.openxmlformats.org/officeDocument/2006/relationships" name="计算依据" sheetId="4" r:id="Re5a92ae822eb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 m&quot;"/>
    <x:numFmt numFmtId="201" formatCode="0"/>
    <x:numFmt numFmtId="202" formatCode="0.00"/>
    <x:numFmt numFmtId="203" formatCode="0%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4636"/>
      <x:name val="Carlito"/>
    </x:font>
    <x:font>
      <x:b/>
      <x:sz val="11"/>
      <x:color rgb="FF2B2722"/>
      <x:name val="Carlito"/>
    </x:font>
    <x:font>
      <x:b/>
      <x:sz val="22"/>
      <x:color rgb="FF5B4636"/>
      <x:name val="Carlito"/>
    </x:font>
    <x:font>
      <x:sz val="10"/>
      <x:color rgb="FF2B2722"/>
      <x:name val="Carlito"/>
    </x:font>
    <x:font>
      <x:b/>
      <x:sz val="11"/>
      <x:color rgb="FFFFFFFF"/>
      <x:name val="Carlito"/>
    </x:font>
    <x:font>
      <x:b/>
      <x:sz val="11"/>
      <x:color rgb="FF5B4636"/>
      <x:name val="Carlito"/>
    </x:font>
    <x:font>
      <x:b/>
      <x:sz val="18"/>
      <x:color rgb="FFFFFFFF"/>
      <x:name val="Microsoft YaHei"/>
    </x:font>
    <x:font>
      <x:i/>
      <x:sz val="11"/>
      <x:color rgb="FF5B4636"/>
      <x:name val="Microsoft YaHei"/>
    </x:font>
    <x:font>
      <x:sz val="11"/>
      <x:name val="Microsoft YaHei"/>
    </x:font>
    <x:font>
      <x:b/>
      <x:sz val="11"/>
      <x:color rgb="FF2B2722"/>
      <x:name val="Microsoft YaHei"/>
    </x:font>
    <x:font>
      <x:b/>
      <x:sz val="22"/>
      <x:color rgb="FF5B4636"/>
      <x:name val="Microsoft YaHei"/>
    </x:font>
    <x:font>
      <x:sz val="10"/>
      <x:color rgb="FF2B2722"/>
      <x:name val="Microsoft YaHei"/>
    </x:font>
    <x:font>
      <x:b/>
      <x:sz val="11"/>
      <x:color rgb="FFFFFFFF"/>
      <x:name val="Microsoft YaHei"/>
    </x:font>
    <x:font>
      <x:b/>
      <x:sz val="11"/>
      <x:color rgb="FF5B4636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5B4636"/>
      </x:patternFill>
    </x:fill>
    <x:fill>
      <x:patternFill patternType="solid">
        <x:fgColor rgb="FFF6F0E6"/>
      </x:patternFill>
    </x:fill>
    <x:fill>
      <x:patternFill patternType="solid">
        <x:fgColor rgb="FFD9A23A"/>
      </x:patternFill>
    </x:fill>
    <x:fill>
      <x:patternFill patternType="solid">
        <x:fgColor rgb="FFFBF8F2"/>
      </x:patternFill>
    </x:fill>
    <x:fill>
      <x:patternFill patternType="solid">
        <x:fgColor rgb="FFC85C38"/>
      </x:patternFill>
    </x:fill>
  </x:fills>
  <x:borders count="4">
    <x:border/>
    <x:border>
      <x:left style="thin">
        <x:color rgb="FFD8CDBE"/>
      </x:left>
      <x:right style="thin">
        <x:color rgb="FFD8CDBE"/>
      </x:right>
      <x:top style="thin">
        <x:color rgb="FFD8CDBE"/>
      </x:top>
      <x:bottom style="thin">
        <x:color rgb="FFD8CDBE"/>
      </x:bottom>
    </x:border>
    <x:border>
      <x:bottom style="thin">
        <x:color rgb="FFD8CDBE"/>
      </x:bottom>
    </x:border>
    <x:border>
      <x:top style="thin">
        <x:color rgb="FFD8CDBE"/>
      </x:top>
      <x:bottom style="thin">
        <x:color rgb="FFD8CDBE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200" fontId="13" fillId="0" borderId="2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5" fillId="3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9" fillId="3" borderId="0" xfId="0" applyNumberFormat="1" applyFont="1" applyFill="1" applyBorder="1"/>
    <x:xf numFmtId="201" fontId="13" fillId="0" borderId="2" xfId="0" applyNumberFormat="1" applyFont="1" applyFill="1" applyBorder="1" applyAlignment="1">
      <x:alignment vertical="center" wrapText="1"/>
    </x:xf>
    <x:xf numFmtId="0" fontId="13" fillId="0" borderId="3" xfId="0" applyNumberFormat="1" applyFont="1" applyFill="1" applyBorder="1" applyAlignment="1">
      <x:alignment vertical="center" wrapText="1"/>
    </x:xf>
    <x:xf numFmtId="201" fontId="13" fillId="0" borderId="3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1" fontId="5" fillId="0" borderId="3" xfId="0" applyNumberFormat="1" applyFont="1" applyFill="1" applyBorder="1"/>
    <x:xf numFmtId="202" fontId="5" fillId="0" borderId="2" xfId="0" applyNumberFormat="1" applyFont="1" applyFill="1" applyBorder="1" applyAlignment="1">
      <x:alignment wrapText="1"/>
    </x:xf>
    <x:xf numFmtId="203" fontId="5" fillId="0" borderId="2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wrapText="1"/>
    </x:xf>
    <x:xf numFmtId="202" fontId="5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vertical="center" wrapText="1"/>
    </x:xf>
    <x:xf numFmtId="203" fontId="5" fillId="0" borderId="2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203" fontId="5" fillId="0" borderId="3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2" fontId="7" fillId="3" borderId="1" xfId="0" applyNumberFormat="1" applyFont="1" applyFill="1" applyBorder="1"/>
    <x:xf numFmtId="201" fontId="7" fillId="3" borderId="1" xfId="0" applyNumberFormat="1" applyFont="1" applyFill="1" applyBorder="1"/>
    <x:xf numFmtId="202" fontId="13" fillId="0" borderId="2" xfId="0" applyNumberFormat="1" applyFont="1" applyFill="1" applyBorder="1" applyAlignment="1">
      <x:alignment vertical="center" wrapText="1"/>
    </x:xf>
    <x:xf numFmtId="203" fontId="13" fillId="0" borderId="2" xfId="0" applyNumberFormat="1" applyFont="1" applyFill="1" applyBorder="1" applyAlignment="1">
      <x:alignment vertical="center" wrapText="1"/>
    </x:xf>
    <x:xf numFmtId="202" fontId="13" fillId="0" borderId="3" xfId="0" applyNumberFormat="1" applyFont="1" applyFill="1" applyBorder="1" applyAlignment="1">
      <x:alignment vertical="center" wrapText="1"/>
    </x:xf>
    <x:xf numFmtId="203" fontId="13" fillId="0" borderId="3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/>
    <x:xf numFmtId="202" fontId="15" fillId="3" borderId="1" xfId="0" applyNumberFormat="1" applyFont="1" applyFill="1" applyBorder="1"/>
    <x:xf numFmtId="201" fontId="15" fillId="3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1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6ae86e439492f" /><Relationship Type="http://schemas.openxmlformats.org/officeDocument/2006/relationships/theme" Target="/xl/theme/theme1.xml" Id="R1266f107ce6d43e1" /><Relationship Type="http://schemas.openxmlformats.org/officeDocument/2006/relationships/sharedStrings" Target="/xl/sharedStrings.xml" Id="Rc6d3d22cbe924e04" /><Relationship Type="http://schemas.openxmlformats.org/officeDocument/2006/relationships/worksheet" Target="/xl/worksheets/sheet1.xml" Id="R69b4234de8114e7f" /><Relationship Type="http://schemas.openxmlformats.org/officeDocument/2006/relationships/worksheet" Target="/xl/worksheets/sheet2.xml" Id="Ra87614637f20407a" /><Relationship Type="http://schemas.openxmlformats.org/officeDocument/2006/relationships/worksheet" Target="/xl/worksheets/sheet3.xml" Id="R80923cdd02db4654" /><Relationship Type="http://schemas.openxmlformats.org/officeDocument/2006/relationships/worksheet" Target="/xl/worksheets/sheet4.xml" Id="Re5a92ae822eb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</x:cols>
  <x:sheetData>
    <x:row r="1" ht="34" customHeight="1">
      <x:c r="A1" s="36" t="str">
        <x:v>游味烧鸟｜水电灯具与线材统计（概算版）</x:v>
      </x:c>
      <x:c r="B1" s="36" t="str">
        <x:v>游味烧鸟｜水电灯具与线材统计（概算版）</x:v>
      </x:c>
      <x:c r="C1" s="36" t="str">
        <x:v>游味烧鸟｜水电灯具与线材统计（概算版）</x:v>
      </x:c>
      <x:c r="D1" s="36" t="str">
        <x:v>游味烧鸟｜水电灯具与线材统计（概算版）</x:v>
      </x:c>
      <x:c r="E1" s="36" t="str">
        <x:v>游味烧鸟｜水电灯具与线材统计（概算版）</x:v>
      </x:c>
      <x:c r="F1" s="36" t="str">
        <x:v>游味烧鸟｜水电灯具与线材统计（概算版）</x:v>
      </x:c>
      <x:c r="G1" s="36" t="str">
        <x:v>游味烧鸟｜水电灯具与线材统计（概算版）</x:v>
      </x:c>
      <x:c r="H1" s="36" t="str">
        <x:v>游味烧鸟｜水电灯具与线材统计（概算版）</x:v>
      </x:c>
    </x:row>
    <x:row r="2" ht="34" customHeight="1">
      <x:c r="A2" s="36" t="str">
        <x:v>游味烧鸟｜水电灯具与线材统计（概算版）</x:v>
      </x:c>
      <x:c r="B2" s="36" t="str">
        <x:v>游味烧鸟｜水电灯具与线材统计（概算版）</x:v>
      </x:c>
      <x:c r="C2" s="36" t="str">
        <x:v>游味烧鸟｜水电灯具与线材统计（概算版）</x:v>
      </x:c>
      <x:c r="D2" s="36" t="str">
        <x:v>游味烧鸟｜水电灯具与线材统计（概算版）</x:v>
      </x:c>
      <x:c r="E2" s="36" t="str">
        <x:v>游味烧鸟｜水电灯具与线材统计（概算版）</x:v>
      </x:c>
      <x:c r="F2" s="36" t="str">
        <x:v>游味烧鸟｜水电灯具与线材统计（概算版）</x:v>
      </x:c>
      <x:c r="G2" s="36" t="str">
        <x:v>游味烧鸟｜水电灯具与线材统计（概算版）</x:v>
      </x:c>
      <x:c r="H2" s="36" t="str">
        <x:v>游味烧鸟｜水电灯具与线材统计（概算版）</x:v>
      </x:c>
    </x:row>
    <x:row r="3">
      <x:c r="A3" s="37" t="str">
        <x:v>依据《07_水电走线图_概念校验版_v3》统计｜单位：个、米｜用于方案沟通与初步报价，不替代施工深化</x:v>
      </x:c>
      <x:c r="B3" s="37" t="str">
        <x:v>依据《07_水电走线图_概念校验版_v3》统计｜单位：个、米｜用于方案沟通与初步报价，不替代施工深化</x:v>
      </x:c>
      <x:c r="C3" s="37" t="str">
        <x:v>依据《07_水电走线图_概念校验版_v3》统计｜单位：个、米｜用于方案沟通与初步报价，不替代施工深化</x:v>
      </x:c>
      <x:c r="D3" s="37" t="str">
        <x:v>依据《07_水电走线图_概念校验版_v3》统计｜单位：个、米｜用于方案沟通与初步报价，不替代施工深化</x:v>
      </x:c>
      <x:c r="E3" s="37" t="str">
        <x:v>依据《07_水电走线图_概念校验版_v3》统计｜单位：个、米｜用于方案沟通与初步报价，不替代施工深化</x:v>
      </x:c>
      <x:c r="F3" s="37" t="str">
        <x:v>依据《07_水电走线图_概念校验版_v3》统计｜单位：个、米｜用于方案沟通与初步报价，不替代施工深化</x:v>
      </x:c>
      <x:c r="G3" s="37" t="str">
        <x:v>依据《07_水电走线图_概念校验版_v3》统计｜单位：个、米｜用于方案沟通与初步报价，不替代施工深化</x:v>
      </x:c>
      <x:c r="H3" s="37" t="str">
        <x:v>依据《07_水电走线图_概念校验版_v3》统计｜单位：个、米｜用于方案沟通与初步报价，不替代施工深化</x:v>
      </x:c>
    </x:row>
    <x:row r="4">
      <x:c r="A4" s="38"/>
      <x:c r="B4" s="38"/>
      <x:c r="C4" s="38"/>
      <x:c r="D4" s="38"/>
      <x:c r="E4" s="38"/>
      <x:c r="F4" s="38"/>
      <x:c r="G4" s="38"/>
      <x:c r="H4" s="38"/>
    </x:row>
    <x:row r="5">
      <x:c r="A5" s="39" t="str">
        <x:v>图中明确灯位</x:v>
      </x:c>
      <x:c r="B5" s="39" t="str">
        <x:v>图中明确灯位</x:v>
      </x:c>
      <x:c r="C5" s="39" t="str">
        <x:v>建议灯具总量</x:v>
      </x:c>
      <x:c r="D5" s="39" t="str">
        <x:v>建议灯具总量</x:v>
      </x:c>
      <x:c r="E5" s="39" t="str">
        <x:v>开关/控制模块</x:v>
      </x:c>
      <x:c r="F5" s="39" t="str">
        <x:v>开关/控制模块</x:v>
      </x:c>
      <x:c r="G5" s="39" t="str">
        <x:v>插座点位</x:v>
      </x:c>
      <x:c r="H5" s="39" t="str">
        <x:v>插座点位</x:v>
      </x:c>
    </x:row>
    <x:row r="6">
      <x:c r="A6" s="40" t="n">
        <x:f>SUM('点位数量'!E6:E9)</x:f>
        <x:v>20</x:v>
      </x:c>
      <x:c r="B6" s="40"/>
      <x:c r="C6" s="40" t="n">
        <x:f>SUM('点位数量'!E6:E10)</x:f>
        <x:v>24</x:v>
      </x:c>
      <x:c r="D6" s="40"/>
      <x:c r="E6" s="40" t="n">
        <x:f>SUM('点位数量'!E12:E13)</x:f>
        <x:v>6</x:v>
      </x:c>
      <x:c r="F6" s="40"/>
      <x:c r="G6" s="40" t="n">
        <x:f>SUM('点位数量'!E15:E22)</x:f>
        <x:v>12</x:v>
      </x:c>
      <x:c r="H6" s="40"/>
    </x:row>
    <x:row r="7">
      <x:c r="A7" s="40"/>
      <x:c r="B7" s="40"/>
      <x:c r="C7" s="40"/>
      <x:c r="D7" s="40"/>
      <x:c r="E7" s="40"/>
      <x:c r="F7" s="40"/>
      <x:c r="G7" s="40"/>
      <x:c r="H7" s="40"/>
    </x:row>
    <x:row r="8">
      <x:c r="A8" s="38"/>
      <x:c r="B8" s="38"/>
      <x:c r="C8" s="38"/>
      <x:c r="D8" s="38"/>
      <x:c r="E8" s="38"/>
      <x:c r="F8" s="38"/>
      <x:c r="G8" s="38"/>
      <x:c r="H8" s="38"/>
    </x:row>
    <x:row r="9" ht="28" customHeight="1">
      <x:c r="A9" s="41" t="str">
        <x:v>材料类别</x:v>
      </x:c>
      <x:c r="B9" s="41" t="str">
        <x:v>给水管</x:v>
      </x:c>
      <x:c r="C9" s="41" t="str">
        <x:v>排水管</x:v>
      </x:c>
      <x:c r="D9" s="41" t="str">
        <x:v>强电三芯等效</x:v>
      </x:c>
      <x:c r="E9" s="41" t="str">
        <x:v>照明回路线</x:v>
      </x:c>
      <x:c r="F9" s="41" t="str">
        <x:v>弱电线</x:v>
      </x:c>
      <x:c r="G9" s="41" t="str">
        <x:v>强电单芯折算</x:v>
      </x:c>
      <x:c r="H9" s="41" t="str">
        <x:v>备注</x:v>
      </x:c>
    </x:row>
    <x:row r="10">
      <x:c r="A10" s="42" t="str">
        <x:v>建议采购量</x:v>
      </x:c>
      <x:c r="B10" s="43" t="n">
        <x:f>'线路米数'!F6</x:f>
        <x:v>24</x:v>
      </x:c>
      <x:c r="C10" s="43" t="n">
        <x:f>'线路米数'!F7</x:f>
        <x:v>23</x:v>
      </x:c>
      <x:c r="D10" s="43" t="n">
        <x:f>SUM('线路米数'!F8:F9)</x:f>
        <x:v>102</x:v>
      </x:c>
      <x:c r="E10" s="43" t="n">
        <x:f>'线路米数'!F10</x:f>
        <x:v>46</x:v>
      </x:c>
      <x:c r="F10" s="43" t="n">
        <x:f>'线路米数'!F11</x:f>
        <x:v>14</x:v>
      </x:c>
      <x:c r="G10" s="43" t="n">
        <x:f>SUM('线路米数'!H8:H9)</x:f>
        <x:v>305</x:v>
      </x:c>
      <x:c r="H10" s="42" t="str">
        <x:v>已含15%施工余量并向上取整</x:v>
      </x:c>
    </x:row>
    <x:row r="11">
      <x:c r="A11" s="38"/>
      <x:c r="B11" s="38"/>
      <x:c r="C11" s="38"/>
      <x:c r="D11" s="38"/>
      <x:c r="E11" s="38"/>
      <x:c r="F11" s="38"/>
      <x:c r="G11" s="38"/>
      <x:c r="H11" s="38"/>
    </x:row>
    <x:row r="12">
      <x:c r="A12" s="44" t="str">
        <x:v>本版明确结论</x:v>
      </x:c>
      <x:c r="B12" s="44" t="str">
        <x:v>本版明确结论</x:v>
      </x:c>
      <x:c r="C12" s="44" t="str">
        <x:v>本版明确结论</x:v>
      </x:c>
      <x:c r="D12" s="44" t="str">
        <x:v>本版明确结论</x:v>
      </x:c>
      <x:c r="E12" s="44" t="str">
        <x:v>本版明确结论</x:v>
      </x:c>
      <x:c r="F12" s="44" t="str">
        <x:v>本版明确结论</x:v>
      </x:c>
      <x:c r="G12" s="44" t="str">
        <x:v>本版明确结论</x:v>
      </x:c>
      <x:c r="H12" s="44" t="str">
        <x:v>本版明确结论</x:v>
      </x:c>
    </x:row>
    <x:row r="13" ht="34" customHeight="1">
      <x:c r="A13" s="45" t="str">
        <x:v>灯具</x:v>
      </x:c>
      <x:c r="B13" s="46" t="str">
        <x:v>图中明确20个灯位；台阶/疏散安全灯建议另预留4个，因此建议暂按24个灯具询价。</x:v>
      </x:c>
      <x:c r="C13" s="46"/>
      <x:c r="D13" s="46"/>
      <x:c r="E13" s="46"/>
      <x:c r="F13" s="46"/>
      <x:c r="G13" s="46"/>
      <x:c r="H13" s="46"/>
    </x:row>
    <x:row r="14" ht="34" customHeight="1">
      <x:c r="A14" s="45" t="str">
        <x:v>开关</x:v>
      </x:c>
      <x:c r="B14" s="46" t="str">
        <x:v>1个六键场景控制面板 + 5个手动回路开关模块，共6个控制模块。</x:v>
      </x:c>
      <x:c r="C14" s="46"/>
      <x:c r="D14" s="46"/>
      <x:c r="E14" s="46"/>
      <x:c r="F14" s="46"/>
      <x:c r="G14" s="46"/>
      <x:c r="H14" s="46"/>
    </x:row>
    <x:row r="15" ht="34" customHeight="1">
      <x:c r="A15" s="45" t="str">
        <x:v>插座</x:v>
      </x:c>
      <x:c r="B15" s="46" t="str">
        <x:v>12个图示插座/设备电源点，其中4个客用充电、2个板前座下、4个设备专线点。</x:v>
      </x:c>
      <x:c r="C15" s="46"/>
      <x:c r="D15" s="46"/>
      <x:c r="E15" s="46"/>
      <x:c r="F15" s="46"/>
      <x:c r="G15" s="46"/>
      <x:c r="H15" s="46"/>
    </x:row>
    <x:row r="16" ht="34" customHeight="1">
      <x:c r="A16" s="45" t="str">
        <x:v>线路</x:v>
      </x:c>
      <x:c r="B16" s="46" t="str">
        <x:v>强电采购按约102米三芯电缆等效，若现场使用单芯穿管则约305米单芯导线；照明回路线约46米。</x:v>
      </x:c>
      <x:c r="C16" s="46"/>
      <x:c r="D16" s="46"/>
      <x:c r="E16" s="46"/>
      <x:c r="F16" s="46"/>
      <x:c r="G16" s="46"/>
      <x:c r="H16" s="46"/>
    </x:row>
    <x:row r="17" ht="34" customHeight="1">
      <x:c r="A17" s="45" t="str">
        <x:v>提醒</x:v>
      </x:c>
      <x:c r="B17" s="46" t="str">
        <x:v>设备功率、线径、空开/漏保、给排水管径及安全灯最终数量须由持证水电人员现场深化。</x:v>
      </x:c>
      <x:c r="C17" s="46"/>
      <x:c r="D17" s="46"/>
      <x:c r="E17" s="46"/>
      <x:c r="F17" s="46"/>
      <x:c r="G17" s="46"/>
      <x:c r="H17" s="46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4" hidden="0" customWidth="1"/>
    <x:col min="4" max="4" width="28" hidden="0" customWidth="1"/>
    <x:col min="5" max="5" width="10" hidden="0" customWidth="1"/>
    <x:col min="6" max="6" width="10" hidden="0" customWidth="1"/>
    <x:col min="7" max="7" width="33" hidden="0" customWidth="1"/>
  </x:cols>
  <x:sheetData>
    <x:row r="1" ht="34" customHeight="1">
      <x:c r="A1" s="36" t="str">
        <x:v>点位数量统计</x:v>
      </x:c>
      <x:c r="B1" s="36" t="str">
        <x:v>点位数量统计</x:v>
      </x:c>
      <x:c r="C1" s="36" t="str">
        <x:v>点位数量统计</x:v>
      </x:c>
      <x:c r="D1" s="36" t="str">
        <x:v>点位数量统计</x:v>
      </x:c>
      <x:c r="E1" s="36" t="str">
        <x:v>点位数量统计</x:v>
      </x:c>
      <x:c r="F1" s="36" t="str">
        <x:v>点位数量统计</x:v>
      </x:c>
      <x:c r="G1" s="36" t="str">
        <x:v>点位数量统计</x:v>
      </x:c>
    </x:row>
    <x:row r="2" ht="34" customHeight="1">
      <x:c r="A2" s="36" t="str">
        <x:v>点位数量统计</x:v>
      </x:c>
      <x:c r="B2" s="36" t="str">
        <x:v>点位数量统计</x:v>
      </x:c>
      <x:c r="C2" s="36" t="str">
        <x:v>点位数量统计</x:v>
      </x:c>
      <x:c r="D2" s="36" t="str">
        <x:v>点位数量统计</x:v>
      </x:c>
      <x:c r="E2" s="36" t="str">
        <x:v>点位数量统计</x:v>
      </x:c>
      <x:c r="F2" s="36" t="str">
        <x:v>点位数量统计</x:v>
      </x:c>
      <x:c r="G2" s="36" t="str">
        <x:v>点位数量统计</x:v>
      </x:c>
    </x:row>
    <x:row r="3">
      <x:c r="A3" s="53" t="str">
        <x:v>“图中明确”与“建议预留”分开统计，避免把概念建议误当成已锁定施工数量。</x:v>
      </x:c>
      <x:c r="B3" s="53" t="str">
        <x:v>“图中明确”与“建议预留”分开统计，避免把概念建议误当成已锁定施工数量。</x:v>
      </x:c>
      <x:c r="C3" s="53" t="str">
        <x:v>“图中明确”与“建议预留”分开统计，避免把概念建议误当成已锁定施工数量。</x:v>
      </x:c>
      <x:c r="D3" s="53" t="str">
        <x:v>“图中明确”与“建议预留”分开统计，避免把概念建议误当成已锁定施工数量。</x:v>
      </x:c>
      <x:c r="E3" s="53" t="str">
        <x:v>“图中明确”与“建议预留”分开统计，避免把概念建议误当成已锁定施工数量。</x:v>
      </x:c>
      <x:c r="F3" s="53" t="str">
        <x:v>“图中明确”与“建议预留”分开统计，避免把概念建议误当成已锁定施工数量。</x:v>
      </x:c>
      <x:c r="G3" s="53" t="str">
        <x:v>“图中明确”与“建议预留”分开统计，避免把概念建议误当成已锁定施工数量。</x:v>
      </x:c>
    </x:row>
    <x:row r="4">
      <x:c r="A4" s="38"/>
      <x:c r="B4" s="38"/>
      <x:c r="C4" s="38"/>
      <x:c r="D4" s="38"/>
      <x:c r="E4" s="38"/>
      <x:c r="F4" s="38"/>
      <x:c r="G4" s="38"/>
    </x:row>
    <x:row r="5" ht="28" customHeight="1">
      <x:c r="A5" s="41" t="str">
        <x:v>系统</x:v>
      </x:c>
      <x:c r="B5" s="41" t="str">
        <x:v>编号/回路</x:v>
      </x:c>
      <x:c r="C5" s="41" t="str">
        <x:v>名称</x:v>
      </x:c>
      <x:c r="D5" s="41" t="str">
        <x:v>位置</x:v>
      </x:c>
      <x:c r="E5" s="41" t="str">
        <x:v>数量</x:v>
      </x:c>
      <x:c r="F5" s="41" t="str">
        <x:v>单位</x:v>
      </x:c>
      <x:c r="G5" s="41" t="str">
        <x:v>说明</x:v>
      </x:c>
    </x:row>
    <x:row r="6" ht="30" customHeight="1">
      <x:c r="A6" s="42" t="str">
        <x:v>灯具</x:v>
      </x:c>
      <x:c r="B6" s="42" t="str">
        <x:v>L-L-01~07</x:v>
      </x:c>
      <x:c r="C6" s="42" t="str">
        <x:v>左区氛围灯</x:v>
      </x:c>
      <x:c r="D6" s="42" t="str">
        <x:v>左侧沙发/吧台/花坛</x:v>
      </x:c>
      <x:c r="E6" s="54" t="n">
        <x:v>7</x:v>
      </x:c>
      <x:c r="F6" s="42" t="str">
        <x:v>个</x:v>
      </x:c>
      <x:c r="G6" s="42" t="str">
        <x:v>图中明确</x:v>
      </x:c>
    </x:row>
    <x:row r="7" ht="30" customHeight="1">
      <x:c r="A7" s="55" t="str">
        <x:v>灯具</x:v>
      </x:c>
      <x:c r="B7" s="55" t="str">
        <x:v>L-M-01~04</x:v>
      </x:c>
      <x:c r="C7" s="55" t="str">
        <x:v>中区照明</x:v>
      </x:c>
      <x:c r="D7" s="55" t="str">
        <x:v>中央沙发/大纸灯/通道</x:v>
      </x:c>
      <x:c r="E7" s="56" t="n">
        <x:v>4</x:v>
      </x:c>
      <x:c r="F7" s="55" t="str">
        <x:v>个</x:v>
      </x:c>
      <x:c r="G7" s="55" t="str">
        <x:v>图中明确</x:v>
      </x:c>
    </x:row>
    <x:row r="8" ht="30" customHeight="1">
      <x:c r="A8" s="55" t="str">
        <x:v>灯具</x:v>
      </x:c>
      <x:c r="B8" s="55" t="str">
        <x:v>L-R-A-01~04</x:v>
      </x:c>
      <x:c r="C8" s="55" t="str">
        <x:v>右区客席氛围灯</x:v>
      </x:c>
      <x:c r="D8" s="55" t="str">
        <x:v>板前客席/招牌/展示柜</x:v>
      </x:c>
      <x:c r="E8" s="56" t="n">
        <x:v>4</x:v>
      </x:c>
      <x:c r="F8" s="55" t="str">
        <x:v>个</x:v>
      </x:c>
      <x:c r="G8" s="55" t="str">
        <x:v>图中明确</x:v>
      </x:c>
    </x:row>
    <x:row r="9" ht="30" customHeight="1">
      <x:c r="A9" s="55" t="str">
        <x:v>灯具</x:v>
      </x:c>
      <x:c r="B9" s="55" t="str">
        <x:v>L-R-W-01~05</x:v>
      </x:c>
      <x:c r="C9" s="55" t="str">
        <x:v>右区操作工作灯</x:v>
      </x:c>
      <x:c r="D9" s="55" t="str">
        <x:v>板前厨房/操作台</x:v>
      </x:c>
      <x:c r="E9" s="56" t="n">
        <x:v>5</x:v>
      </x:c>
      <x:c r="F9" s="55" t="str">
        <x:v>个</x:v>
      </x:c>
      <x:c r="G9" s="55" t="str">
        <x:v>图中明确</x:v>
      </x:c>
    </x:row>
    <x:row r="10" ht="30" customHeight="1">
      <x:c r="A10" s="55" t="str">
        <x:v>灯具</x:v>
      </x:c>
      <x:c r="B10" s="55" t="str">
        <x:v>L-S-01~04</x:v>
      </x:c>
      <x:c r="C10" s="55" t="str">
        <x:v>台阶/疏散安全灯</x:v>
      </x:c>
      <x:c r="D10" s="55" t="str">
        <x:v>前侧两级台阶</x:v>
      </x:c>
      <x:c r="E10" s="56" t="n">
        <x:v>4</x:v>
      </x:c>
      <x:c r="F10" s="55" t="str">
        <x:v>个</x:v>
      </x:c>
      <x:c r="G10" s="55" t="str">
        <x:v>建议预留，图中未独立编号</x:v>
      </x:c>
    </x:row>
    <x:row r="11" ht="30" customHeight="1">
      <x:c r="A11" s="55" t="str"/>
      <x:c r="B11" s="55" t="str"/>
      <x:c r="C11" s="55" t="str"/>
      <x:c r="D11" s="55" t="str"/>
      <x:c r="E11" s="56"/>
      <x:c r="F11" s="55" t="str"/>
      <x:c r="G11" s="55" t="str"/>
    </x:row>
    <x:row r="12" ht="30" customHeight="1">
      <x:c r="A12" s="55" t="str">
        <x:v>控制</x:v>
      </x:c>
      <x:c r="B12" s="55" t="str">
        <x:v>LC</x:v>
      </x:c>
      <x:c r="C12" s="55" t="str">
        <x:v>六键场景控制面板</x:v>
      </x:c>
      <x:c r="D12" s="55" t="str">
        <x:v>右区入口/配电控制附近</x:v>
      </x:c>
      <x:c r="E12" s="56" t="n">
        <x:v>1</x:v>
      </x:c>
      <x:c r="F12" s="55" t="str">
        <x:v>个</x:v>
      </x:c>
      <x:c r="G12" s="55" t="str">
        <x:v>控制5个回路并预留1键</x:v>
      </x:c>
    </x:row>
    <x:row r="13" ht="30" customHeight="1">
      <x:c r="A13" s="55" t="str">
        <x:v>控制</x:v>
      </x:c>
      <x:c r="B13" s="55" t="str">
        <x:v>SW-L-L/L-M/L-R-A/L-R-W/L-S</x:v>
      </x:c>
      <x:c r="C13" s="55" t="str">
        <x:v>手动回路开关模块</x:v>
      </x:c>
      <x:c r="D13" s="55" t="str">
        <x:v>与场景面板集中设置</x:v>
      </x:c>
      <x:c r="E13" s="56" t="n">
        <x:v>5</x:v>
      </x:c>
      <x:c r="F13" s="55" t="str">
        <x:v>个</x:v>
      </x:c>
      <x:c r="G13" s="55" t="str">
        <x:v>每回路保留手动控制</x:v>
      </x:c>
    </x:row>
    <x:row r="14" ht="30" customHeight="1">
      <x:c r="A14" s="55" t="str"/>
      <x:c r="B14" s="55" t="str"/>
      <x:c r="C14" s="55" t="str"/>
      <x:c r="D14" s="55" t="str"/>
      <x:c r="E14" s="56"/>
      <x:c r="F14" s="55" t="str"/>
      <x:c r="G14" s="55" t="str"/>
    </x:row>
    <x:row r="15" ht="30" customHeight="1">
      <x:c r="A15" s="55" t="str">
        <x:v>插座</x:v>
      </x:c>
      <x:c r="B15" s="55" t="str">
        <x:v>P1</x:v>
      </x:c>
      <x:c r="C15" s="55" t="str">
        <x:v>烤炉/排烟专线</x:v>
      </x:c>
      <x:c r="D15" s="55" t="str">
        <x:v>板前厨房</x:v>
      </x:c>
      <x:c r="E15" s="56" t="n">
        <x:v>1</x:v>
      </x:c>
      <x:c r="F15" s="55" t="str">
        <x:v>点</x:v>
      </x:c>
      <x:c r="G15" s="55" t="str">
        <x:v>功率与线径待设备表确认</x:v>
      </x:c>
    </x:row>
    <x:row r="16" ht="30" customHeight="1">
      <x:c r="A16" s="55" t="str">
        <x:v>插座</x:v>
      </x:c>
      <x:c r="B16" s="55" t="str">
        <x:v>P2</x:v>
      </x:c>
      <x:c r="C16" s="55" t="str">
        <x:v>冷藏操作台专线</x:v>
      </x:c>
      <x:c r="D16" s="55" t="str">
        <x:v>板前厨房</x:v>
      </x:c>
      <x:c r="E16" s="56" t="n">
        <x:v>1</x:v>
      </x:c>
      <x:c r="F16" s="55" t="str">
        <x:v>点</x:v>
      </x:c>
      <x:c r="G16" s="55" t="str">
        <x:v>专用回路</x:v>
      </x:c>
    </x:row>
    <x:row r="17" ht="30" customHeight="1">
      <x:c r="A17" s="55" t="str">
        <x:v>插座</x:v>
      </x:c>
      <x:c r="B17" s="55" t="str">
        <x:v>P3</x:v>
      </x:c>
      <x:c r="C17" s="55" t="str">
        <x:v>厨房通用插座</x:v>
      </x:c>
      <x:c r="D17" s="55" t="str">
        <x:v>板前厨房</x:v>
      </x:c>
      <x:c r="E17" s="56" t="n">
        <x:v>1</x:v>
      </x:c>
      <x:c r="F17" s="55" t="str">
        <x:v>点</x:v>
      </x:c>
      <x:c r="G17" s="55" t="str">
        <x:v>防溅型</x:v>
      </x:c>
    </x:row>
    <x:row r="18" ht="30" customHeight="1">
      <x:c r="A18" s="55" t="str">
        <x:v>插座</x:v>
      </x:c>
      <x:c r="B18" s="55" t="str">
        <x:v>P4</x:v>
      </x:c>
      <x:c r="C18" s="55" t="str">
        <x:v>展示柜专线</x:v>
      </x:c>
      <x:c r="D18" s="55" t="str">
        <x:v>右前展示柜</x:v>
      </x:c>
      <x:c r="E18" s="56" t="n">
        <x:v>1</x:v>
      </x:c>
      <x:c r="F18" s="55" t="str">
        <x:v>点</x:v>
      </x:c>
      <x:c r="G18" s="55" t="str">
        <x:v>专用回路</x:v>
      </x:c>
    </x:row>
    <x:row r="19" ht="30" customHeight="1">
      <x:c r="A19" s="55" t="str">
        <x:v>插座</x:v>
      </x:c>
      <x:c r="B19" s="55" t="str">
        <x:v>P5</x:v>
      </x:c>
      <x:c r="C19" s="55" t="str">
        <x:v>左吧台插座</x:v>
      </x:c>
      <x:c r="D19" s="55" t="str">
        <x:v>左前横向吧台</x:v>
      </x:c>
      <x:c r="E19" s="56" t="n">
        <x:v>1</x:v>
      </x:c>
      <x:c r="F19" s="55" t="str">
        <x:v>点</x:v>
      </x:c>
      <x:c r="G19" s="55" t="str">
        <x:v>建议防溅型</x:v>
      </x:c>
    </x:row>
    <x:row r="20" ht="30" customHeight="1">
      <x:c r="A20" s="55" t="str">
        <x:v>插座</x:v>
      </x:c>
      <x:c r="B20" s="55" t="str">
        <x:v>P6~P9</x:v>
      </x:c>
      <x:c r="C20" s="55" t="str">
        <x:v>客用充电插座</x:v>
      </x:c>
      <x:c r="D20" s="55" t="str">
        <x:v>两组沙发区</x:v>
      </x:c>
      <x:c r="E20" s="56" t="n">
        <x:v>4</x:v>
      </x:c>
      <x:c r="F20" s="55" t="str">
        <x:v>点</x:v>
      </x:c>
      <x:c r="G20" s="55" t="str">
        <x:v>建议带USB-C或双五孔</x:v>
      </x:c>
    </x:row>
    <x:row r="21" ht="30" customHeight="1">
      <x:c r="A21" s="55" t="str">
        <x:v>插座</x:v>
      </x:c>
      <x:c r="B21" s="55" t="str">
        <x:v>P10</x:v>
      </x:c>
      <x:c r="C21" s="55" t="str">
        <x:v>空调专用插座（高位）</x:v>
      </x:c>
      <x:c r="D21" s="55" t="str">
        <x:v>左侧沙发内端</x:v>
      </x:c>
      <x:c r="E21" s="56" t="n">
        <x:v>1</x:v>
      </x:c>
      <x:c r="F21" s="55" t="str">
        <x:v>点</x:v>
      </x:c>
      <x:c r="G21" s="55" t="str">
        <x:v>专用回路</x:v>
      </x:c>
    </x:row>
    <x:row r="22" ht="30" customHeight="1">
      <x:c r="A22" s="55" t="str">
        <x:v>插座</x:v>
      </x:c>
      <x:c r="B22" s="55" t="str">
        <x:v>P11~P12</x:v>
      </x:c>
      <x:c r="C22" s="55" t="str">
        <x:v>板前座下插座</x:v>
      </x:c>
      <x:c r="D22" s="55" t="str">
        <x:v>板前五席下</x:v>
      </x:c>
      <x:c r="E22" s="56" t="n">
        <x:v>2</x:v>
      </x:c>
      <x:c r="F22" s="55" t="str">
        <x:v>点</x:v>
      </x:c>
      <x:c r="G22" s="55" t="str">
        <x:v>带保护盖</x:v>
      </x:c>
    </x:row>
    <x:row r="23" ht="30" customHeight="1">
      <x:c r="A23" s="55" t="str"/>
      <x:c r="B23" s="55" t="str"/>
      <x:c r="C23" s="55" t="str"/>
      <x:c r="D23" s="55" t="str"/>
      <x:c r="E23" s="56"/>
      <x:c r="F23" s="55" t="str"/>
      <x:c r="G23" s="55" t="str"/>
    </x:row>
    <x:row r="24" ht="30" customHeight="1">
      <x:c r="A24" s="55" t="str">
        <x:v>给水</x:v>
      </x:c>
      <x:c r="B24" s="55" t="str">
        <x:v>S1~S5</x:v>
      </x:c>
      <x:c r="C24" s="55" t="str">
        <x:v>给水接口</x:v>
      </x:c>
      <x:c r="D24" s="55" t="str">
        <x:v>洗手盆/清洗池/备餐/冷凝/左吧台</x:v>
      </x:c>
      <x:c r="E24" s="56" t="n">
        <x:v>5</x:v>
      </x:c>
      <x:c r="F24" s="55" t="str">
        <x:v>点</x:v>
      </x:c>
      <x:c r="G24" s="55" t="str">
        <x:v>管径待深化</x:v>
      </x:c>
    </x:row>
    <x:row r="25" ht="30" customHeight="1">
      <x:c r="A25" s="55" t="str">
        <x:v>排水</x:v>
      </x:c>
      <x:c r="B25" s="55" t="str">
        <x:v>D1~D5</x:v>
      </x:c>
      <x:c r="C25" s="55" t="str">
        <x:v>排水接口</x:v>
      </x:c>
      <x:c r="D25" s="55" t="str">
        <x:v>对应设备及左吧台</x:v>
      </x:c>
      <x:c r="E25" s="56" t="n">
        <x:v>5</x:v>
      </x:c>
      <x:c r="F25" s="55" t="str">
        <x:v>点</x:v>
      </x:c>
      <x:c r="G25" s="55" t="str">
        <x:v>坡度与管径待深化</x:v>
      </x:c>
    </x:row>
    <x:row r="26" ht="30" customHeight="1">
      <x:c r="A26" s="55" t="str">
        <x:v>排水</x:v>
      </x:c>
      <x:c r="B26" s="55" t="str">
        <x:v>FD1</x:v>
      </x:c>
      <x:c r="C26" s="55" t="str">
        <x:v>地漏</x:v>
      </x:c>
      <x:c r="D26" s="55" t="str">
        <x:v>板前厨房</x:v>
      </x:c>
      <x:c r="E26" s="56" t="n">
        <x:v>1</x:v>
      </x:c>
      <x:c r="F26" s="55" t="str">
        <x:v>个</x:v>
      </x:c>
      <x:c r="G26" s="55" t="str">
        <x:v>建议防臭型</x:v>
      </x:c>
    </x:row>
    <x:row r="27" ht="30" customHeight="1">
      <x:c r="A27" s="55" t="str">
        <x:v>排水</x:v>
      </x:c>
      <x:c r="B27" s="55" t="str">
        <x:v>GT</x:v>
      </x:c>
      <x:c r="C27" s="55" t="str">
        <x:v>隔油池</x:v>
      </x:c>
      <x:c r="D27" s="55" t="str">
        <x:v>右前外侧/下游</x:v>
      </x:c>
      <x:c r="E27" s="56" t="n">
        <x:v>1</x:v>
      </x:c>
      <x:c r="F27" s="55" t="str">
        <x:v>套</x:v>
      </x:c>
      <x:c r="G27" s="55" t="str">
        <x:v>容量待核</x:v>
      </x:c>
    </x:row>
    <x:row r="28" ht="30" customHeight="1">
      <x:c r="A28" s="55" t="str">
        <x:v>弱电</x:v>
      </x:c>
      <x:c r="B28" s="55" t="str">
        <x:v>AP/POS</x:v>
      </x:c>
      <x:c r="C28" s="55" t="str">
        <x:v>网络/AP/POS预留</x:v>
      </x:c>
      <x:c r="D28" s="55" t="str">
        <x:v>左吧台及右区</x:v>
      </x:c>
      <x:c r="E28" s="56" t="n">
        <x:v>2</x:v>
      </x:c>
      <x:c r="F28" s="55" t="str">
        <x:v>点</x:v>
      </x:c>
      <x:c r="G28" s="55" t="str">
        <x:v>Cat6或以上</x:v>
      </x:c>
    </x:row>
    <x:row r="29" ht="30" customHeight="1">
      <x:c r="A29" s="55" t="str">
        <x:v>配电</x:v>
      </x:c>
      <x:c r="B29" s="55" t="str">
        <x:v>DB</x:v>
      </x:c>
      <x:c r="C29" s="55" t="str">
        <x:v>配电箱</x:v>
      </x:c>
      <x:c r="D29" s="55" t="str">
        <x:v>右后侧</x:v>
      </x:c>
      <x:c r="E29" s="56" t="n">
        <x:v>1</x:v>
      </x:c>
      <x:c r="F29" s="55" t="str">
        <x:v>套</x:v>
      </x:c>
      <x:c r="G29" s="55" t="str">
        <x:v>回路与容量待深化</x:v>
      </x:c>
    </x:row>
    <x:row r="30" ht="30" customHeight="1">
      <x:c r="A30" s="38"/>
      <x:c r="B30" s="38"/>
      <x:c r="C30" s="38"/>
      <x:c r="D30" s="38"/>
      <x:c r="E30" s="57"/>
      <x:c r="F30" s="38"/>
      <x:c r="G30" s="38"/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4" customHeight="1">
      <x:c r="A1" s="36" t="str">
        <x:v>线路及管材米数概算</x:v>
      </x:c>
      <x:c r="B1" s="36" t="str">
        <x:v>线路及管材米数概算</x:v>
      </x:c>
      <x:c r="C1" s="36" t="str">
        <x:v>线路及管材米数概算</x:v>
      </x:c>
      <x:c r="D1" s="36" t="str">
        <x:v>线路及管材米数概算</x:v>
      </x:c>
      <x:c r="E1" s="36" t="str">
        <x:v>线路及管材米数概算</x:v>
      </x:c>
      <x:c r="F1" s="36" t="str">
        <x:v>线路及管材米数概算</x:v>
      </x:c>
      <x:c r="G1" s="36" t="str">
        <x:v>线路及管材米数概算</x:v>
      </x:c>
      <x:c r="H1" s="36" t="str">
        <x:v>线路及管材米数概算</x:v>
      </x:c>
      <x:c r="I1" s="36" t="str">
        <x:v>线路及管材米数概算</x:v>
      </x:c>
    </x:row>
    <x:row r="2" ht="34" customHeight="1">
      <x:c r="A2" s="36" t="str">
        <x:v>线路及管材米数概算</x:v>
      </x:c>
      <x:c r="B2" s="36" t="str">
        <x:v>线路及管材米数概算</x:v>
      </x:c>
      <x:c r="C2" s="36" t="str">
        <x:v>线路及管材米数概算</x:v>
      </x:c>
      <x:c r="D2" s="36" t="str">
        <x:v>线路及管材米数概算</x:v>
      </x:c>
      <x:c r="E2" s="36" t="str">
        <x:v>线路及管材米数概算</x:v>
      </x:c>
      <x:c r="F2" s="36" t="str">
        <x:v>线路及管材米数概算</x:v>
      </x:c>
      <x:c r="G2" s="36" t="str">
        <x:v>线路及管材米数概算</x:v>
      </x:c>
      <x:c r="H2" s="36" t="str">
        <x:v>线路及管材米数概算</x:v>
      </x:c>
      <x:c r="I2" s="36" t="str">
        <x:v>线路及管材米数概算</x:v>
      </x:c>
    </x:row>
    <x:row r="3">
      <x:c r="A3" s="53" t="str">
        <x:v>路径长度取自概念图坐标折线；采购量=基础路径×(1+余量)，默认余量15%，再向上取整。</x:v>
      </x:c>
      <x:c r="B3" s="53" t="str">
        <x:v>路径长度取自概念图坐标折线；采购量=基础路径×(1+余量)，默认余量15%，再向上取整。</x:v>
      </x:c>
      <x:c r="C3" s="53" t="str">
        <x:v>路径长度取自概念图坐标折线；采购量=基础路径×(1+余量)，默认余量15%，再向上取整。</x:v>
      </x:c>
      <x:c r="D3" s="53" t="str">
        <x:v>路径长度取自概念图坐标折线；采购量=基础路径×(1+余量)，默认余量15%，再向上取整。</x:v>
      </x:c>
      <x:c r="E3" s="53" t="str">
        <x:v>路径长度取自概念图坐标折线；采购量=基础路径×(1+余量)，默认余量15%，再向上取整。</x:v>
      </x:c>
      <x:c r="F3" s="53" t="str">
        <x:v>路径长度取自概念图坐标折线；采购量=基础路径×(1+余量)，默认余量15%，再向上取整。</x:v>
      </x:c>
      <x:c r="G3" s="53" t="str">
        <x:v>路径长度取自概念图坐标折线；采购量=基础路径×(1+余量)，默认余量15%，再向上取整。</x:v>
      </x:c>
      <x:c r="H3" s="53" t="str">
        <x:v>路径长度取自概念图坐标折线；采购量=基础路径×(1+余量)，默认余量15%，再向上取整。</x:v>
      </x:c>
      <x:c r="I3" s="53" t="str">
        <x:v>路径长度取自概念图坐标折线；采购量=基础路径×(1+余量)，默认余量15%，再向上取整。</x:v>
      </x:c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</x:row>
    <x:row r="5" ht="28" customHeight="1">
      <x:c r="A5" s="41" t="str">
        <x:v>系统</x:v>
      </x:c>
      <x:c r="B5" s="41" t="str">
        <x:v>用途</x:v>
      </x:c>
      <x:c r="C5" s="41" t="str">
        <x:v>基础路径(m)</x:v>
      </x:c>
      <x:c r="D5" s="41" t="str">
        <x:v>施工余量</x:v>
      </x:c>
      <x:c r="E5" s="41" t="str">
        <x:v>含余量(m)</x:v>
      </x:c>
      <x:c r="F5" s="41" t="str">
        <x:v>建议采购(m)</x:v>
      </x:c>
      <x:c r="G5" s="41" t="str">
        <x:v>芯数/折算</x:v>
      </x:c>
      <x:c r="H5" s="41" t="str">
        <x:v>单芯导线折算(m)</x:v>
      </x:c>
      <x:c r="I5" s="41" t="str">
        <x:v>说明</x:v>
      </x:c>
    </x:row>
    <x:row r="6" ht="30" customHeight="1">
      <x:c r="A6" s="42" t="str">
        <x:v>给水</x:v>
      </x:c>
      <x:c r="B6" s="42" t="str">
        <x:v>S1~S5给水干支管</x:v>
      </x:c>
      <x:c r="C6" s="83" t="n">
        <x:v>20.7</x:v>
      </x:c>
      <x:c r="D6" s="84" t="n">
        <x:v>0.15</x:v>
      </x:c>
      <x:c r="E6" s="83" t="n">
        <x:f>C6*(1+D6)</x:f>
        <x:v>23.804999999999996</x:v>
      </x:c>
      <x:c r="F6" s="54" t="n">
        <x:f>ROUNDUP(E6,0)</x:f>
        <x:v>24</x:v>
      </x:c>
      <x:c r="G6" s="42" t="str">
        <x:v>管道</x:v>
      </x:c>
      <x:c r="H6" s="54"/>
      <x:c r="I6" s="42" t="str">
        <x:v>不含设备软管；管径待定</x:v>
      </x:c>
    </x:row>
    <x:row r="7" ht="30" customHeight="1">
      <x:c r="A7" s="55" t="str">
        <x:v>排水</x:v>
      </x:c>
      <x:c r="B7" s="55" t="str">
        <x:v>设备排水+左吧台+地漏</x:v>
      </x:c>
      <x:c r="C7" s="85" t="n">
        <x:v>19.77</x:v>
      </x:c>
      <x:c r="D7" s="86" t="n">
        <x:v>0.15</x:v>
      </x:c>
      <x:c r="E7" s="85" t="n">
        <x:f>C7*(1+D7)</x:f>
        <x:v>22.7355</x:v>
      </x:c>
      <x:c r="F7" s="56" t="n">
        <x:f>ROUNDUP(E7,0)</x:f>
        <x:v>23</x:v>
      </x:c>
      <x:c r="G7" s="55" t="str">
        <x:v>管道</x:v>
      </x:c>
      <x:c r="H7" s="56"/>
      <x:c r="I7" s="55" t="str">
        <x:v>不含竖向接驳；需校核坡度</x:v>
      </x:c>
    </x:row>
    <x:row r="8" ht="30" customHeight="1">
      <x:c r="A8" s="55" t="str">
        <x:v>强电</x:v>
      </x:c>
      <x:c r="B8" s="55" t="str">
        <x:v>普通插座/客充/板前座下</x:v>
      </x:c>
      <x:c r="C8" s="85" t="n">
        <x:v>67.39</x:v>
      </x:c>
      <x:c r="D8" s="86" t="n">
        <x:v>0.15</x:v>
      </x:c>
      <x:c r="E8" s="85" t="n">
        <x:f>C8*(1+D8)</x:f>
        <x:v>77.49849999999999</x:v>
      </x:c>
      <x:c r="F8" s="56" t="n">
        <x:f>ROUNDUP(E8,0)</x:f>
        <x:v>78</x:v>
      </x:c>
      <x:c r="G8" s="55" t="str">
        <x:v>三芯等效</x:v>
      </x:c>
      <x:c r="H8" s="56" t="n">
        <x:f>ROUNDUP(E8*3,0)</x:f>
        <x:v>233</x:v>
      </x:c>
      <x:c r="I8" s="55" t="str">
        <x:v>P3、P5~P9、P11~P12</x:v>
      </x:c>
    </x:row>
    <x:row r="9" ht="30" customHeight="1">
      <x:c r="A9" s="55" t="str">
        <x:v>强电</x:v>
      </x:c>
      <x:c r="B9" s="55" t="str">
        <x:v>设备专线</x:v>
      </x:c>
      <x:c r="C9" s="85" t="n">
        <x:v>20.77</x:v>
      </x:c>
      <x:c r="D9" s="86" t="n">
        <x:v>0.15</x:v>
      </x:c>
      <x:c r="E9" s="85" t="n">
        <x:f>C9*(1+D9)</x:f>
        <x:v>23.885499999999997</x:v>
      </x:c>
      <x:c r="F9" s="56" t="n">
        <x:f>ROUNDUP(E9,0)</x:f>
        <x:v>24</x:v>
      </x:c>
      <x:c r="G9" s="55" t="str">
        <x:v>三芯等效</x:v>
      </x:c>
      <x:c r="H9" s="56" t="n">
        <x:f>ROUNDUP(E9*3,0)</x:f>
        <x:v>72</x:v>
      </x:c>
      <x:c r="I9" s="55" t="str">
        <x:v>P1、P2、P4、P10；线径按设备功率</x:v>
      </x:c>
    </x:row>
    <x:row r="10" ht="30" customHeight="1">
      <x:c r="A10" s="55" t="str">
        <x:v>照明</x:v>
      </x:c>
      <x:c r="B10" s="55" t="str">
        <x:v>L-L/L-M/L-R-A/L-R-W回路</x:v>
      </x:c>
      <x:c r="C10" s="85" t="n">
        <x:v>39.61</x:v>
      </x:c>
      <x:c r="D10" s="86" t="n">
        <x:v>0.15</x:v>
      </x:c>
      <x:c r="E10" s="85" t="n">
        <x:f>C10*(1+D10)</x:f>
        <x:v>45.5515</x:v>
      </x:c>
      <x:c r="F10" s="56" t="n">
        <x:f>ROUNDUP(E10,0)</x:f>
        <x:v>46</x:v>
      </x:c>
      <x:c r="G10" s="55" t="str">
        <x:v>三芯等效</x:v>
      </x:c>
      <x:c r="H10" s="56" t="n">
        <x:f>ROUNDUP(E10*3,0)</x:f>
        <x:v>137</x:v>
      </x:c>
      <x:c r="I10" s="55" t="str">
        <x:v>未计台阶安全灯最终走向</x:v>
      </x:c>
    </x:row>
    <x:row r="11" ht="30" customHeight="1">
      <x:c r="A11" s="55" t="str">
        <x:v>弱电</x:v>
      </x:c>
      <x:c r="B11" s="55" t="str">
        <x:v>AP/POS网络预留</x:v>
      </x:c>
      <x:c r="C11" s="85" t="n">
        <x:v>12.15</x:v>
      </x:c>
      <x:c r="D11" s="86" t="n">
        <x:v>0.15</x:v>
      </x:c>
      <x:c r="E11" s="85" t="n">
        <x:f>C11*(1+D11)</x:f>
        <x:v>13.9725</x:v>
      </x:c>
      <x:c r="F11" s="56" t="n">
        <x:f>ROUNDUP(E11,0)</x:f>
        <x:v>14</x:v>
      </x:c>
      <x:c r="G11" s="55" t="str">
        <x:v>成品网线</x:v>
      </x:c>
      <x:c r="H11" s="56"/>
      <x:c r="I11" s="55" t="str">
        <x:v>建议Cat6或以上</x:v>
      </x:c>
    </x:row>
    <x:row r="12" ht="30" customHeight="1">
      <x:c r="A12" s="55" t="str">
        <x:v>强电管路</x:v>
      </x:c>
      <x:c r="B12" s="55" t="str">
        <x:v>概念图共享干支路由</x:v>
      </x:c>
      <x:c r="C12" s="85" t="n">
        <x:v>48.24</x:v>
      </x:c>
      <x:c r="D12" s="86" t="n">
        <x:v>0.15</x:v>
      </x:c>
      <x:c r="E12" s="85" t="n">
        <x:f>C12*(1+D12)</x:f>
        <x:v>55.476</x:v>
      </x:c>
      <x:c r="F12" s="56" t="n">
        <x:f>ROUNDUP(E12,0)</x:f>
        <x:v>56</x:v>
      </x:c>
      <x:c r="G12" s="55" t="str">
        <x:v>线管路径</x:v>
      </x:c>
      <x:c r="H12" s="56"/>
      <x:c r="I12" s="55" t="str">
        <x:v>仅供桥架/线管初估，不替代分回路深化</x:v>
      </x:c>
    </x:row>
    <x:row r="13" ht="30" customHeight="1">
      <x:c r="A13" s="38"/>
      <x:c r="B13" s="38"/>
      <x:c r="C13" s="38"/>
      <x:c r="D13" s="38"/>
      <x:c r="E13" s="38"/>
      <x:c r="F13" s="38"/>
      <x:c r="G13" s="38"/>
      <x:c r="H13" s="38"/>
      <x:c r="I13" s="38"/>
    </x:row>
    <x:row r="14" ht="30" customHeight="1">
      <x:c r="A14" s="87" t="str">
        <x:v>强电汇总</x:v>
      </x:c>
      <x:c r="B14" s="87" t="str">
        <x:v>普通插座+设备专线</x:v>
      </x:c>
      <x:c r="C14" s="88" t="n">
        <x:f>SUM(C8:C9)</x:f>
        <x:v>88.16</x:v>
      </x:c>
      <x:c r="D14" s="87"/>
      <x:c r="E14" s="88" t="n">
        <x:f>SUM(E8:E9)</x:f>
        <x:v>101.38399999999999</x:v>
      </x:c>
      <x:c r="F14" s="89" t="n">
        <x:f>SUM(F8:F9)</x:f>
        <x:v>102</x:v>
      </x:c>
      <x:c r="G14" s="89" t="str">
        <x:v>三芯等效</x:v>
      </x:c>
      <x:c r="H14" s="89" t="n">
        <x:f>SUM(H8:H9)</x:f>
        <x:v>305</x:v>
      </x:c>
      <x:c r="I14" s="87" t="str"/>
    </x:row>
    <x:row r="15" ht="30" customHeight="1">
      <x:c r="A15" s="38"/>
      <x:c r="B15" s="38"/>
      <x:c r="C15" s="38"/>
      <x:c r="D15" s="38"/>
      <x:c r="E15" s="38"/>
      <x:c r="F15" s="38"/>
      <x:c r="G15" s="38"/>
      <x:c r="H15" s="38"/>
      <x:c r="I15" s="38"/>
    </x:row>
    <x:row r="16" ht="30" customHeight="1">
      <x:c r="A16" s="45" t="str">
        <x:v>采购提醒</x:v>
      </x:c>
      <x:c r="B16" s="46" t="str">
        <x:v>“三芯等效”表示按一条包含火线/零线/地线的电缆长度统计。若采用单芯线穿管，请参考H列。</x:v>
      </x:c>
      <x:c r="C16" s="46"/>
      <x:c r="D16" s="46"/>
      <x:c r="E16" s="46"/>
      <x:c r="F16" s="46"/>
      <x:c r="G16" s="46"/>
      <x:c r="H16" s="46"/>
      <x:c r="I16" s="46"/>
    </x:row>
    <x:row r="17" ht="30" customHeight="1">
      <x:c r="A17" s="45" t="str">
        <x:v>线径提醒</x:v>
      </x:c>
      <x:c r="B17" s="46" t="str">
        <x:v>普通插座常用2.5mm²仅可作前期参考；烤炉、排烟、冷柜、空调必须按铭牌功率、敷设方式和规范选线。</x:v>
      </x:c>
      <x:c r="C17" s="46"/>
      <x:c r="D17" s="46"/>
      <x:c r="E17" s="46"/>
      <x:c r="F17" s="46"/>
      <x:c r="G17" s="46"/>
      <x:c r="H17" s="46"/>
      <x:c r="I17" s="46"/>
    </x:row>
    <x:row r="18" ht="30" customHeight="1">
      <x:c r="A18" s="45" t="str">
        <x:v>未计项目</x:v>
      </x:c>
      <x:c r="B18" s="46" t="str">
        <x:v>配电箱内部跳线、灯具吊线、设备软线、竖向翻高、穿墙绕行及台阶安全灯最终走线未计入。</x:v>
      </x:c>
      <x:c r="C18" s="46"/>
      <x:c r="D18" s="46"/>
      <x:c r="E18" s="46"/>
      <x:c r="F18" s="46"/>
      <x:c r="G18" s="46"/>
      <x:c r="H18" s="46"/>
      <x:c r="I18" s="46"/>
    </x:row>
  </x:sheetData>
  <x:mergeCells>
    <x:mergeCell ref="A1:I2"/>
    <x:mergeCell ref="A3:I3"/>
    <x:mergeCell ref="B16:I16"/>
    <x:mergeCell ref="B17:I17"/>
    <x:mergeCell ref="B18:I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13" hidden="0" customWidth="1"/>
    <x:col min="4" max="4" width="13" hidden="0" customWidth="1"/>
    <x:col min="5" max="5" width="20" hidden="0" customWidth="1"/>
    <x:col min="6" max="6" width="40" hidden="0" customWidth="1"/>
  </x:cols>
  <x:sheetData>
    <x:row r="1" ht="34" customHeight="1">
      <x:c r="A1" s="36" t="str">
        <x:v>计算依据与边界条件</x:v>
      </x:c>
      <x:c r="B1" s="36" t="str">
        <x:v>计算依据与边界条件</x:v>
      </x:c>
      <x:c r="C1" s="36" t="str">
        <x:v>计算依据与边界条件</x:v>
      </x:c>
      <x:c r="D1" s="36" t="str">
        <x:v>计算依据与边界条件</x:v>
      </x:c>
      <x:c r="E1" s="36" t="str">
        <x:v>计算依据与边界条件</x:v>
      </x:c>
      <x:c r="F1" s="36" t="str">
        <x:v>计算依据与边界条件</x:v>
      </x:c>
    </x:row>
    <x:row r="2" ht="34" customHeight="1">
      <x:c r="A2" s="36" t="str">
        <x:v>计算依据与边界条件</x:v>
      </x:c>
      <x:c r="B2" s="36" t="str">
        <x:v>计算依据与边界条件</x:v>
      </x:c>
      <x:c r="C2" s="36" t="str">
        <x:v>计算依据与边界条件</x:v>
      </x:c>
      <x:c r="D2" s="36" t="str">
        <x:v>计算依据与边界条件</x:v>
      </x:c>
      <x:c r="E2" s="36" t="str">
        <x:v>计算依据与边界条件</x:v>
      </x:c>
      <x:c r="F2" s="36" t="str">
        <x:v>计算依据与边界条件</x:v>
      </x:c>
    </x:row>
    <x:row r="3">
      <x:c r="A3" s="38"/>
      <x:c r="B3" s="38"/>
      <x:c r="C3" s="38"/>
      <x:c r="D3" s="38"/>
      <x:c r="E3" s="38"/>
      <x:c r="F3" s="38"/>
    </x:row>
    <x:row r="4" ht="28" customHeight="1">
      <x:c r="A4" s="41" t="str">
        <x:v>编号</x:v>
      </x:c>
      <x:c r="B4" s="41" t="str">
        <x:v>假设/规则</x:v>
      </x:c>
      <x:c r="C4" s="41" t="str">
        <x:v>采用值</x:v>
      </x:c>
      <x:c r="D4" s="41" t="str">
        <x:v>单位</x:v>
      </x:c>
      <x:c r="E4" s="41" t="str">
        <x:v>影响范围</x:v>
      </x:c>
      <x:c r="F4" s="41" t="str">
        <x:v>说明</x:v>
      </x:c>
    </x:row>
    <x:row r="5" ht="30" customHeight="1">
      <x:c r="A5" s="42" t="n">
        <x:v>1</x:v>
      </x:c>
      <x:c r="B5" s="42" t="str">
        <x:v>概念图坐标单位</x:v>
      </x:c>
      <x:c r="C5" s="42" t="n">
        <x:v>1</x:v>
      </x:c>
      <x:c r="D5" s="42" t="str">
        <x:v>cm</x:v>
      </x:c>
      <x:c r="E5" s="42" t="str">
        <x:v>全部线路</x:v>
      </x:c>
      <x:c r="F5" s="42" t="str">
        <x:v>按图中正交折线路径累加</x:v>
      </x:c>
    </x:row>
    <x:row r="6" ht="30" customHeight="1">
      <x:c r="A6" s="55" t="n">
        <x:v>2</x:v>
      </x:c>
      <x:c r="B6" s="55" t="str">
        <x:v>施工余量</x:v>
      </x:c>
      <x:c r="C6" s="86" t="n">
        <x:v>0.15</x:v>
      </x:c>
      <x:c r="D6" s="55" t="str">
        <x:v>%</x:v>
      </x:c>
      <x:c r="E6" s="55" t="str">
        <x:v>全部材料</x:v>
      </x:c>
      <x:c r="F6" s="55" t="str">
        <x:v>覆盖转弯、裁切及少量上下引线</x:v>
      </x:c>
    </x:row>
    <x:row r="7" ht="30" customHeight="1">
      <x:c r="A7" s="55" t="n">
        <x:v>3</x:v>
      </x:c>
      <x:c r="B7" s="55" t="str">
        <x:v>强电导体芯数</x:v>
      </x:c>
      <x:c r="C7" s="55" t="n">
        <x:v>3</x:v>
      </x:c>
      <x:c r="D7" s="55" t="str">
        <x:v>芯</x:v>
      </x:c>
      <x:c r="E7" s="55" t="str">
        <x:v>插座/照明</x:v>
      </x:c>
      <x:c r="F7" s="55" t="str">
        <x:v>火线、零线、保护地线；控制线另行深化</x:v>
      </x:c>
    </x:row>
    <x:row r="8" ht="30" customHeight="1">
      <x:c r="A8" s="55" t="n">
        <x:v>4</x:v>
      </x:c>
      <x:c r="B8" s="55" t="str">
        <x:v>台阶安全灯预留</x:v>
      </x:c>
      <x:c r="C8" s="55" t="n">
        <x:v>4</x:v>
      </x:c>
      <x:c r="D8" s="55" t="str">
        <x:v>个</x:v>
      </x:c>
      <x:c r="E8" s="55" t="str">
        <x:v>灯具数量</x:v>
      </x:c>
      <x:c r="F8" s="55" t="str">
        <x:v>图中控制表要求独立安全回路，但未画出独立灯点</x:v>
      </x:c>
    </x:row>
    <x:row r="9" ht="30" customHeight="1">
      <x:c r="A9" s="55" t="n">
        <x:v>5</x:v>
      </x:c>
      <x:c r="B9" s="55" t="str">
        <x:v>场景面板</x:v>
      </x:c>
      <x:c r="C9" s="55" t="n">
        <x:v>1</x:v>
      </x:c>
      <x:c r="D9" s="55" t="str">
        <x:v>个</x:v>
      </x:c>
      <x:c r="E9" s="55" t="str">
        <x:v>控制系统</x:v>
      </x:c>
      <x:c r="F9" s="55" t="str">
        <x:v>建议六键：5个使用回路+1个预留</x:v>
      </x:c>
    </x:row>
    <x:row r="10" ht="30" customHeight="1">
      <x:c r="A10" s="55" t="n">
        <x:v>6</x:v>
      </x:c>
      <x:c r="B10" s="55" t="str">
        <x:v>手动开关模块</x:v>
      </x:c>
      <x:c r="C10" s="55" t="n">
        <x:v>5</x:v>
      </x:c>
      <x:c r="D10" s="55" t="str">
        <x:v>个</x:v>
      </x:c>
      <x:c r="E10" s="55" t="str">
        <x:v>控制系统</x:v>
      </x:c>
      <x:c r="F10" s="55" t="str">
        <x:v>五个照明回路各保留手动控制</x:v>
      </x:c>
    </x:row>
    <x:row r="11" ht="30" customHeight="1">
      <x:c r="A11" s="38"/>
      <x:c r="B11" s="38"/>
      <x:c r="C11" s="38"/>
      <x:c r="D11" s="38"/>
      <x:c r="E11" s="38"/>
      <x:c r="F11" s="38"/>
    </x:row>
    <x:row r="12" ht="30" customHeight="1">
      <x:c r="A12" s="92" t="str">
        <x:v>施工深化前必须补充</x:v>
      </x:c>
      <x:c r="B12" s="92" t="str">
        <x:v>施工深化前必须补充</x:v>
      </x:c>
      <x:c r="C12" s="92" t="str">
        <x:v>施工深化前必须补充</x:v>
      </x:c>
      <x:c r="D12" s="92" t="str">
        <x:v>施工深化前必须补充</x:v>
      </x:c>
      <x:c r="E12" s="92" t="str">
        <x:v>施工深化前必须补充</x:v>
      </x:c>
      <x:c r="F12" s="92" t="str">
        <x:v>施工深化前必须补充</x:v>
      </x:c>
    </x:row>
    <x:row r="13" ht="30" customHeight="1">
      <x:c r="A13" s="45" t="str">
        <x:v>1</x:v>
      </x:c>
      <x:c r="B13" s="46" t="str">
        <x:v>全部设备铭牌功率及启动电流</x:v>
      </x:c>
      <x:c r="C13" s="46"/>
      <x:c r="D13" s="46"/>
      <x:c r="E13" s="46"/>
      <x:c r="F13" s="46"/>
    </x:row>
    <x:row r="14" ht="30" customHeight="1">
      <x:c r="A14" s="45" t="str">
        <x:v>2</x:v>
      </x:c>
      <x:c r="B14" s="46" t="str">
        <x:v>配电箱容量、回路数、空开与漏保参数</x:v>
      </x:c>
      <x:c r="C14" s="46"/>
      <x:c r="D14" s="46"/>
      <x:c r="E14" s="46"/>
      <x:c r="F14" s="46"/>
    </x:row>
    <x:row r="15" ht="30" customHeight="1">
      <x:c r="A15" s="45" t="str">
        <x:v>3</x:v>
      </x:c>
      <x:c r="B15" s="46" t="str">
        <x:v>给水压力、管径、阀门与防冻/保温要求</x:v>
      </x:c>
      <x:c r="C15" s="46"/>
      <x:c r="D15" s="46"/>
      <x:c r="E15" s="46"/>
      <x:c r="F15" s="46"/>
    </x:row>
    <x:row r="16" ht="30" customHeight="1">
      <x:c r="A16" s="45" t="str">
        <x:v>4</x:v>
      </x:c>
      <x:c r="B16" s="46" t="str">
        <x:v>排水管径、坡度、隔油池容量及最终排放点</x:v>
      </x:c>
      <x:c r="C16" s="46"/>
      <x:c r="D16" s="46"/>
      <x:c r="E16" s="46"/>
      <x:c r="F16" s="46"/>
    </x:row>
    <x:row r="17" ht="30" customHeight="1">
      <x:c r="A17" s="45" t="str">
        <x:v>5</x:v>
      </x:c>
      <x:c r="B17" s="46" t="str">
        <x:v>灯具型号、功率、色温、防水等级与安装高度</x:v>
      </x:c>
      <x:c r="C17" s="46"/>
      <x:c r="D17" s="46"/>
      <x:c r="E17" s="46"/>
      <x:c r="F17" s="46"/>
    </x:row>
    <x:row r="18" ht="30" customHeight="1">
      <x:c r="A18" s="45" t="str">
        <x:v>6</x:v>
      </x:c>
      <x:c r="B18" s="46" t="str">
        <x:v>现场实际绕梁、穿墙、吊顶/地台内敷设路线</x:v>
      </x:c>
      <x:c r="C18" s="46"/>
      <x:c r="D18" s="46"/>
      <x:c r="E18" s="46"/>
      <x:c r="F18" s="46"/>
    </x:row>
  </x:sheetData>
  <x:mergeCells>
    <x:mergeCell ref="A1:F2"/>
    <x:mergeCell ref="A12:F12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